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rch Registrations" sheetId="1" state="visible" r:id="rId1"/>
    <sheet name="Analytics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0A2540"/>
      <sz val="15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5724"/>
      <sz val="10"/>
    </font>
    <font>
      <name val="Segoe UI"/>
      <b val="1"/>
      <color rgb="00856404"/>
      <sz val="10"/>
    </font>
    <font>
      <name val="Segoe UI"/>
      <b val="1"/>
      <color rgb="00004085"/>
      <sz val="10"/>
    </font>
    <font>
      <name val="Segoe UI"/>
      <b val="1"/>
      <color rgb="00721C24"/>
      <sz val="10"/>
    </font>
    <font>
      <name val="Segoe UI"/>
      <b val="1"/>
      <color rgb="00FFFFFF"/>
      <sz val="10"/>
    </font>
    <font>
      <name val="Segoe UI"/>
      <b val="1"/>
      <color rgb="000A2540"/>
      <sz val="16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D4EDDA"/>
      </patternFill>
    </fill>
    <fill>
      <patternFill patternType="solid">
        <fgColor rgb="00F0F4F9"/>
        <bgColor rgb="00F0F4F9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11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  <col width="16" customWidth="1" min="4" max="4"/>
    <col width="18" customWidth="1" min="5" max="5"/>
    <col width="32" customWidth="1" min="6" max="6"/>
    <col width="26" customWidth="1" min="7" max="7"/>
    <col width="30" customWidth="1" min="8" max="8"/>
    <col width="20" customWidth="1" min="9" max="9"/>
    <col width="18" customWidth="1" min="10" max="10"/>
    <col width="22" customWidth="1" min="11" max="11"/>
  </cols>
  <sheetData>
    <row r="1" ht="28" customHeight="1">
      <c r="A1" s="1" t="inlineStr">
        <is>
          <t>The Parenting Project Myanmar — Partner Church Registration Database</t>
        </is>
      </c>
    </row>
    <row r="2" ht="18" customHeight="1">
      <c r="A2" s="2" t="inlineStr">
        <is>
          <t>Official CBN Asia Family Discipleship Initiative · Data Collection &amp; Tracking Portal</t>
        </is>
      </c>
    </row>
    <row r="4" ht="26" customHeight="1">
      <c r="A4" s="3" t="inlineStr">
        <is>
          <t>Reg ID</t>
        </is>
      </c>
      <c r="B4" s="3" t="inlineStr">
        <is>
          <t>Timestamp</t>
        </is>
      </c>
      <c r="C4" s="4" t="inlineStr">
        <is>
          <t>Church / School Name</t>
        </is>
      </c>
      <c r="D4" s="3" t="inlineStr">
        <is>
          <t>State / Region</t>
        </is>
      </c>
      <c r="E4" s="4" t="inlineStr">
        <is>
          <t>City / Township</t>
        </is>
      </c>
      <c r="F4" s="4" t="inlineStr">
        <is>
          <t>Denomination / Network</t>
        </is>
      </c>
      <c r="G4" s="4" t="inlineStr">
        <is>
          <t>Lead Pastor / Coordinator</t>
        </is>
      </c>
      <c r="H4" s="4" t="inlineStr">
        <is>
          <t>Official Email</t>
        </is>
      </c>
      <c r="I4" s="4" t="inlineStr">
        <is>
          <t>Phone / Viber Number</t>
        </is>
      </c>
      <c r="J4" s="3" t="inlineStr">
        <is>
          <t>Estimated Families</t>
        </is>
      </c>
      <c r="K4" s="3" t="inlineStr">
        <is>
          <t>Status</t>
        </is>
      </c>
    </row>
    <row r="5" ht="20" customHeight="1">
      <c r="A5" s="5" t="inlineStr">
        <is>
          <t>TPP-MM-001</t>
        </is>
      </c>
      <c r="B5" s="5" t="inlineStr">
        <is>
          <t>2026-09-20 14:32</t>
        </is>
      </c>
      <c r="C5" s="6" t="inlineStr">
        <is>
          <t>Yangon Grace Baptist Church</t>
        </is>
      </c>
      <c r="D5" s="5" t="inlineStr">
        <is>
          <t>Yangon</t>
        </is>
      </c>
      <c r="E5" s="6" t="inlineStr">
        <is>
          <t>Insein</t>
        </is>
      </c>
      <c r="F5" s="6" t="inlineStr">
        <is>
          <t>Myanmar Baptist Convention (MBC)</t>
        </is>
      </c>
      <c r="G5" s="6" t="inlineStr">
        <is>
          <t>Rev. Dr. Khin Maung</t>
        </is>
      </c>
      <c r="H5" s="6" t="inlineStr">
        <is>
          <t>khinmaung@gracechurch.org</t>
        </is>
      </c>
      <c r="I5" s="6" t="inlineStr">
        <is>
          <t>+95 9 4210 12345</t>
        </is>
      </c>
      <c r="J5" s="5" t="inlineStr">
        <is>
          <t>26–50</t>
        </is>
      </c>
      <c r="K5" s="7" t="inlineStr">
        <is>
          <t>Verified (Full Access)</t>
        </is>
      </c>
    </row>
    <row r="6" ht="20" customHeight="1">
      <c r="A6" s="8" t="inlineStr">
        <is>
          <t>TPP-MM-002</t>
        </is>
      </c>
      <c r="B6" s="8" t="inlineStr">
        <is>
          <t>2026-09-20 16:15</t>
        </is>
      </c>
      <c r="C6" s="9" t="inlineStr">
        <is>
          <t>Mandalay Emmanuel Christian Church</t>
        </is>
      </c>
      <c r="D6" s="8" t="inlineStr">
        <is>
          <t>Mandalay</t>
        </is>
      </c>
      <c r="E6" s="9" t="inlineStr">
        <is>
          <t>Chanayethazan</t>
        </is>
      </c>
      <c r="F6" s="9" t="inlineStr">
        <is>
          <t>Assemblies of God (AG)</t>
        </is>
      </c>
      <c r="G6" s="9" t="inlineStr">
        <is>
          <t>Pastor Aung San</t>
        </is>
      </c>
      <c r="H6" s="9" t="inlineStr">
        <is>
          <t>aungsan@emmanuelmdy.com</t>
        </is>
      </c>
      <c r="I6" s="9" t="inlineStr">
        <is>
          <t>+95 9 7985 67890</t>
        </is>
      </c>
      <c r="J6" s="8" t="inlineStr">
        <is>
          <t>51–100</t>
        </is>
      </c>
      <c r="K6" s="10" t="inlineStr">
        <is>
          <t>Contacted via Viber</t>
        </is>
      </c>
    </row>
    <row r="7" ht="20" customHeight="1">
      <c r="A7" s="5" t="inlineStr">
        <is>
          <t>TPP-MM-003</t>
        </is>
      </c>
      <c r="B7" s="5" t="inlineStr">
        <is>
          <t>2026-09-21 09:20</t>
        </is>
      </c>
      <c r="C7" s="6" t="inlineStr">
        <is>
          <t>Taunggyi Living Word Fellowship</t>
        </is>
      </c>
      <c r="D7" s="5" t="inlineStr">
        <is>
          <t>Shan</t>
        </is>
      </c>
      <c r="E7" s="6" t="inlineStr">
        <is>
          <t>Taunggyi</t>
        </is>
      </c>
      <c r="F7" s="6" t="inlineStr">
        <is>
          <t>Independent Fellowship</t>
        </is>
      </c>
      <c r="G7" s="6" t="inlineStr">
        <is>
          <t>Pastor Sai Lone</t>
        </is>
      </c>
      <c r="H7" s="6" t="inlineStr">
        <is>
          <t>sai.lone@livingword.org</t>
        </is>
      </c>
      <c r="I7" s="6" t="inlineStr">
        <is>
          <t>+95 9 2501 23456</t>
        </is>
      </c>
      <c r="J7" s="5" t="inlineStr">
        <is>
          <t>10–25</t>
        </is>
      </c>
      <c r="K7" s="11" t="inlineStr">
        <is>
          <t>Training Scheduled</t>
        </is>
      </c>
    </row>
    <row r="8" ht="20" customHeight="1">
      <c r="A8" s="8" t="inlineStr">
        <is>
          <t>TPP-MM-004</t>
        </is>
      </c>
      <c r="B8" s="8" t="inlineStr">
        <is>
          <t>2026-09-21 11:45</t>
        </is>
      </c>
      <c r="C8" s="9" t="inlineStr">
        <is>
          <t>Hakha Faith Baptist Church</t>
        </is>
      </c>
      <c r="D8" s="8" t="inlineStr">
        <is>
          <t>Chin</t>
        </is>
      </c>
      <c r="E8" s="9" t="inlineStr">
        <is>
          <t>Hakha</t>
        </is>
      </c>
      <c r="F8" s="9" t="inlineStr">
        <is>
          <t>Chin Baptist Convention (CBC)</t>
        </is>
      </c>
      <c r="G8" s="9" t="inlineStr">
        <is>
          <t>Pastor Thang Lian</t>
        </is>
      </c>
      <c r="H8" s="9" t="inlineStr">
        <is>
          <t>thang.lian@hakhachurch.org</t>
        </is>
      </c>
      <c r="I8" s="9" t="inlineStr">
        <is>
          <t>+95 9 7800 98765</t>
        </is>
      </c>
      <c r="J8" s="8" t="inlineStr">
        <is>
          <t>51–100</t>
        </is>
      </c>
      <c r="K8" s="7" t="inlineStr">
        <is>
          <t>Verified</t>
        </is>
      </c>
    </row>
    <row r="9" ht="20" customHeight="1">
      <c r="A9" s="5" t="inlineStr">
        <is>
          <t>TPP-MM-005</t>
        </is>
      </c>
      <c r="B9" s="5" t="inlineStr">
        <is>
          <t>2026-09-21 15:10</t>
        </is>
      </c>
      <c r="C9" s="6" t="inlineStr">
        <is>
          <t>Myitkyina Hope Center Church</t>
        </is>
      </c>
      <c r="D9" s="5" t="inlineStr">
        <is>
          <t>Kachin</t>
        </is>
      </c>
      <c r="E9" s="6" t="inlineStr">
        <is>
          <t>Myitkyina</t>
        </is>
      </c>
      <c r="F9" s="6" t="inlineStr">
        <is>
          <t>Kachin Baptist Convention (KBC)</t>
        </is>
      </c>
      <c r="G9" s="6" t="inlineStr">
        <is>
          <t>Rev. Maran Seng</t>
        </is>
      </c>
      <c r="H9" s="6" t="inlineStr">
        <is>
          <t>maran.seng@hopecenter.org</t>
        </is>
      </c>
      <c r="I9" s="6" t="inlineStr">
        <is>
          <t>+95 9 4001 54321</t>
        </is>
      </c>
      <c r="J9" s="5" t="inlineStr">
        <is>
          <t>26–50</t>
        </is>
      </c>
      <c r="K9" s="12" t="inlineStr">
        <is>
          <t>New Registration</t>
        </is>
      </c>
    </row>
    <row r="10" ht="20" customHeight="1">
      <c r="A10" s="8" t="inlineStr">
        <is>
          <t>TPP-MM-006</t>
        </is>
      </c>
      <c r="B10" s="8" t="inlineStr">
        <is>
          <t>2026-09-22 08:30</t>
        </is>
      </c>
      <c r="C10" s="9" t="inlineStr">
        <is>
          <t>Pathein Trinity Methodist Church</t>
        </is>
      </c>
      <c r="D10" s="8" t="inlineStr">
        <is>
          <t>Ayeyarwady</t>
        </is>
      </c>
      <c r="E10" s="9" t="inlineStr">
        <is>
          <t>Pathein</t>
        </is>
      </c>
      <c r="F10" s="9" t="inlineStr">
        <is>
          <t>Methodist Church of Myanmar</t>
        </is>
      </c>
      <c r="G10" s="9" t="inlineStr">
        <is>
          <t>Pastor Tin Hlaing</t>
        </is>
      </c>
      <c r="H10" s="9" t="inlineStr">
        <is>
          <t>tinhlaing@trinitypathein.org</t>
        </is>
      </c>
      <c r="I10" s="9" t="inlineStr">
        <is>
          <t>+95 9 9700 11223</t>
        </is>
      </c>
      <c r="J10" s="8" t="inlineStr">
        <is>
          <t>10–25</t>
        </is>
      </c>
      <c r="K10" s="10" t="inlineStr">
        <is>
          <t>Contacted via Viber</t>
        </is>
      </c>
    </row>
    <row r="11" ht="20" customHeight="1">
      <c r="A11" s="5" t="inlineStr">
        <is>
          <t>TPP-MM-007</t>
        </is>
      </c>
      <c r="B11" s="5" t="inlineStr">
        <is>
          <t>2026-09-22 13:05</t>
        </is>
      </c>
      <c r="C11" s="6" t="inlineStr">
        <is>
          <t>Hpa-an Grace Community Church</t>
        </is>
      </c>
      <c r="D11" s="5" t="inlineStr">
        <is>
          <t>Kayin</t>
        </is>
      </c>
      <c r="E11" s="6" t="inlineStr">
        <is>
          <t>Hpa-an</t>
        </is>
      </c>
      <c r="F11" s="6" t="inlineStr">
        <is>
          <t>Kayin Baptist Convention</t>
        </is>
      </c>
      <c r="G11" s="6" t="inlineStr">
        <is>
          <t>Pastor Saw Eh Kaw</t>
        </is>
      </c>
      <c r="H11" s="6" t="inlineStr">
        <is>
          <t>sawehkaw@hpaanchurch.org</t>
        </is>
      </c>
      <c r="I11" s="6" t="inlineStr">
        <is>
          <t>+95 9 7990 33445</t>
        </is>
      </c>
      <c r="J11" s="5" t="inlineStr">
        <is>
          <t>100+</t>
        </is>
      </c>
      <c r="K11" s="11" t="inlineStr">
        <is>
          <t>Training Scheduled</t>
        </is>
      </c>
    </row>
    <row r="12" ht="20" customHeight="1">
      <c r="A12" s="8" t="inlineStr">
        <is>
          <t>TPP-MM-008</t>
        </is>
      </c>
      <c r="B12" s="8" t="inlineStr">
        <is>
          <t>2026-09-22 17:40</t>
        </is>
      </c>
      <c r="C12" s="9" t="inlineStr">
        <is>
          <t>Mawlamyine Harvest Assembly</t>
        </is>
      </c>
      <c r="D12" s="8" t="inlineStr">
        <is>
          <t>Mon</t>
        </is>
      </c>
      <c r="E12" s="9" t="inlineStr">
        <is>
          <t>Mawlamyine</t>
        </is>
      </c>
      <c r="F12" s="9" t="inlineStr">
        <is>
          <t>Full Gospel Church</t>
        </is>
      </c>
      <c r="G12" s="9" t="inlineStr">
        <is>
          <t>Pastor Win Naing</t>
        </is>
      </c>
      <c r="H12" s="9" t="inlineStr">
        <is>
          <t>win.naing@harvestassembly.org</t>
        </is>
      </c>
      <c r="I12" s="9" t="inlineStr">
        <is>
          <t>+95 9 4280 99887</t>
        </is>
      </c>
      <c r="J12" s="8" t="inlineStr">
        <is>
          <t>26–50</t>
        </is>
      </c>
      <c r="K12" s="7" t="inlineStr">
        <is>
          <t>Verified</t>
        </is>
      </c>
    </row>
    <row r="13" ht="20" customHeight="1">
      <c r="A13" s="5" t="inlineStr">
        <is>
          <t>TPP-MM-009</t>
        </is>
      </c>
      <c r="B13" s="5" t="inlineStr">
        <is>
          <t>2026-09-23 09:12</t>
        </is>
      </c>
      <c r="C13" s="6" t="inlineStr">
        <is>
          <t>Kalay Central Baptist Church</t>
        </is>
      </c>
      <c r="D13" s="5" t="inlineStr">
        <is>
          <t>Sagaing</t>
        </is>
      </c>
      <c r="E13" s="6" t="inlineStr">
        <is>
          <t>Kalaymyo</t>
        </is>
      </c>
      <c r="F13" s="6" t="inlineStr">
        <is>
          <t>Kalay Baptist Association</t>
        </is>
      </c>
      <c r="G13" s="6" t="inlineStr">
        <is>
          <t>Rev. Kap No</t>
        </is>
      </c>
      <c r="H13" s="6" t="inlineStr">
        <is>
          <t>kapno@kalaychurch.org</t>
        </is>
      </c>
      <c r="I13" s="6" t="inlineStr">
        <is>
          <t>+95 9 6900 55667</t>
        </is>
      </c>
      <c r="J13" s="5" t="inlineStr">
        <is>
          <t>51–100</t>
        </is>
      </c>
      <c r="K13" s="12" t="inlineStr">
        <is>
          <t>New Registration</t>
        </is>
      </c>
    </row>
    <row r="14" ht="20" customHeight="1">
      <c r="A14" s="8" t="inlineStr">
        <is>
          <t>TPP-MM-010</t>
        </is>
      </c>
      <c r="B14" s="8" t="inlineStr">
        <is>
          <t>2026-09-23 10:05</t>
        </is>
      </c>
      <c r="C14" s="9" t="inlineStr">
        <is>
          <t>Bago City Light Church</t>
        </is>
      </c>
      <c r="D14" s="8" t="inlineStr">
        <is>
          <t>Bago</t>
        </is>
      </c>
      <c r="E14" s="9" t="inlineStr">
        <is>
          <t>Bago</t>
        </is>
      </c>
      <c r="F14" s="9" t="inlineStr">
        <is>
          <t>Presbyterian Church of Myanmar</t>
        </is>
      </c>
      <c r="G14" s="9" t="inlineStr">
        <is>
          <t>Pastor Myo Myint</t>
        </is>
      </c>
      <c r="H14" s="9" t="inlineStr">
        <is>
          <t>myomyint@bagochurch.org</t>
        </is>
      </c>
      <c r="I14" s="9" t="inlineStr">
        <is>
          <t>+95 9 7788 12345</t>
        </is>
      </c>
      <c r="J14" s="8" t="inlineStr">
        <is>
          <t>10–25</t>
        </is>
      </c>
      <c r="K14" s="12" t="inlineStr">
        <is>
          <t>New Registration</t>
        </is>
      </c>
    </row>
    <row r="15" ht="20" customHeight="1">
      <c r="A15" s="5" t="inlineStr">
        <is>
          <t>TPP-MM-011</t>
        </is>
      </c>
      <c r="B15" s="5" t="inlineStr">
        <is>
          <t>2026-09-23 10:22</t>
        </is>
      </c>
      <c r="C15" s="6" t="inlineStr">
        <is>
          <t>Mawlamyine Hope Baptist</t>
        </is>
      </c>
      <c r="D15" s="5" t="inlineStr">
        <is>
          <t>Mon</t>
        </is>
      </c>
      <c r="E15" s="6" t="inlineStr">
        <is>
          <t>Mawlamyine</t>
        </is>
      </c>
      <c r="F15" s="6" t="inlineStr">
        <is>
          <t>Baptist</t>
        </is>
      </c>
      <c r="G15" s="6" t="inlineStr">
        <is>
          <t>Sayargyi U Thein</t>
        </is>
      </c>
      <c r="H15" s="6" t="inlineStr">
        <is>
          <t>uthein@hope.org</t>
        </is>
      </c>
      <c r="I15" s="6" t="inlineStr">
        <is>
          <t>+95 9 11223344</t>
        </is>
      </c>
      <c r="J15" s="5" t="inlineStr">
        <is>
          <t>26–50 Families</t>
        </is>
      </c>
      <c r="K15" s="12" t="inlineStr">
        <is>
          <t>New Registration</t>
        </is>
      </c>
    </row>
    <row r="16" ht="20" customHeight="1">
      <c r="A16" s="8" t="inlineStr">
        <is>
          <t>TPP-MM-012</t>
        </is>
      </c>
      <c r="B16" s="8" t="inlineStr">
        <is>
          <t>2026-09-23 11:13</t>
        </is>
      </c>
      <c r="C16" s="9" t="inlineStr">
        <is>
          <t>Mandalay Grace Church</t>
        </is>
      </c>
      <c r="D16" s="8" t="inlineStr">
        <is>
          <t>Mandalay</t>
        </is>
      </c>
      <c r="E16" s="9" t="inlineStr">
        <is>
          <t>Maha Aungmye</t>
        </is>
      </c>
      <c r="F16" s="9" t="inlineStr">
        <is>
          <t>Baptist</t>
        </is>
      </c>
      <c r="G16" s="9" t="inlineStr">
        <is>
          <t>Pastor Aung Myo</t>
        </is>
      </c>
      <c r="H16" s="9" t="inlineStr">
        <is>
          <t>aungmyo@grace.org</t>
        </is>
      </c>
      <c r="I16" s="9" t="inlineStr">
        <is>
          <t>+95 9 798 12345</t>
        </is>
      </c>
      <c r="J16" s="8" t="inlineStr">
        <is>
          <t>25–50 Families</t>
        </is>
      </c>
      <c r="K16" s="12" t="inlineStr">
        <is>
          <t>New Registration</t>
        </is>
      </c>
    </row>
    <row r="17" ht="20" customHeight="1">
      <c r="A17" s="5" t="inlineStr">
        <is>
          <t>TPP-MM-013</t>
        </is>
      </c>
      <c r="B17" s="5" t="inlineStr">
        <is>
          <t>2026-09-23 11:13</t>
        </is>
      </c>
      <c r="C17" s="6" t="inlineStr">
        <is>
          <t>Test Yangon Church</t>
        </is>
      </c>
      <c r="D17" s="5" t="inlineStr">
        <is>
          <t>Yangon</t>
        </is>
      </c>
      <c r="E17" s="6" t="inlineStr">
        <is>
          <t>Yangon</t>
        </is>
      </c>
      <c r="F17" s="6" t="inlineStr">
        <is>
          <t>Independent</t>
        </is>
      </c>
      <c r="G17" s="6" t="inlineStr"/>
      <c r="H17" s="6" t="inlineStr"/>
      <c r="I17" s="6" t="inlineStr"/>
      <c r="J17" s="5" t="inlineStr">
        <is>
          <t>10–25 Families</t>
        </is>
      </c>
      <c r="K17" s="12" t="inlineStr">
        <is>
          <t>New Registration</t>
        </is>
      </c>
    </row>
    <row r="18" ht="20" customHeight="1">
      <c r="A18" s="8" t="inlineStr">
        <is>
          <t>TPP-MM-014</t>
        </is>
      </c>
      <c r="B18" s="8" t="inlineStr">
        <is>
          <t>2026-09-23 11:27</t>
        </is>
      </c>
      <c r="C18" s="9" t="inlineStr">
        <is>
          <t>Taunggyi Community Fellowship</t>
        </is>
      </c>
      <c r="D18" s="8" t="inlineStr">
        <is>
          <t>Shan</t>
        </is>
      </c>
      <c r="E18" s="9" t="inlineStr">
        <is>
          <t>Taunggyi</t>
        </is>
      </c>
      <c r="F18" s="9" t="inlineStr">
        <is>
          <t>Independent</t>
        </is>
      </c>
      <c r="G18" s="9" t="inlineStr">
        <is>
          <t>Pastor Sai Kham</t>
        </is>
      </c>
      <c r="H18" s="9" t="inlineStr">
        <is>
          <t>saikham@taunggyichurch.org</t>
        </is>
      </c>
      <c r="I18" s="9" t="inlineStr">
        <is>
          <t>+95 9 789 55512</t>
        </is>
      </c>
      <c r="J18" s="8" t="inlineStr">
        <is>
          <t>25–50 Families</t>
        </is>
      </c>
      <c r="K18" s="12" t="inlineStr">
        <is>
          <t>New Registration</t>
        </is>
      </c>
    </row>
    <row r="19" ht="20" customHeight="1">
      <c r="A19" s="5" t="inlineStr">
        <is>
          <t>TPP-MM-015</t>
        </is>
      </c>
      <c r="B19" s="5" t="inlineStr">
        <is>
          <t>2026-09-23 16:23</t>
        </is>
      </c>
      <c r="C19" s="6" t="inlineStr">
        <is>
          <t>CBN Myanmar</t>
        </is>
      </c>
      <c r="D19" s="5" t="inlineStr">
        <is>
          <t>Mandalay</t>
        </is>
      </c>
      <c r="E19" s="6" t="inlineStr">
        <is>
          <t>Mandalay</t>
        </is>
      </c>
      <c r="F19" s="6" t="inlineStr">
        <is>
          <t>sianhung@gmail.com</t>
        </is>
      </c>
      <c r="G19" s="6" t="inlineStr">
        <is>
          <t>CBN Production Myanmar</t>
        </is>
      </c>
      <c r="H19" s="6" t="inlineStr">
        <is>
          <t>sianhung@gmail.com</t>
        </is>
      </c>
      <c r="I19" s="6" t="inlineStr">
        <is>
          <t>09095859034</t>
        </is>
      </c>
      <c r="J19" s="5" t="inlineStr">
        <is>
          <t>1–20</t>
        </is>
      </c>
      <c r="K19" s="12" t="inlineStr">
        <is>
          <t>Verified (Full Access)</t>
        </is>
      </c>
    </row>
    <row r="20" ht="20" customHeight="1">
      <c r="A20" s="8" t="inlineStr">
        <is>
          <t>TPP-MM-016</t>
        </is>
      </c>
      <c r="B20" s="8" t="inlineStr">
        <is>
          <t>2026-09-23 16:25</t>
        </is>
      </c>
      <c r="C20" s="9" t="inlineStr">
        <is>
          <t>Test Church</t>
        </is>
      </c>
      <c r="D20" s="8" t="inlineStr">
        <is>
          <t>Yangon</t>
        </is>
      </c>
      <c r="E20" s="9" t="inlineStr">
        <is>
          <t>Yangon</t>
        </is>
      </c>
      <c r="F20" s="9" t="inlineStr">
        <is>
          <t>Independent</t>
        </is>
      </c>
      <c r="G20" s="9" t="inlineStr">
        <is>
          <t>Test User</t>
        </is>
      </c>
      <c r="H20" s="9" t="inlineStr">
        <is>
          <t>test@test.com</t>
        </is>
      </c>
      <c r="I20" s="9" t="inlineStr">
        <is>
          <t>09123456789</t>
        </is>
      </c>
      <c r="J20" s="8" t="inlineStr">
        <is>
          <t>10–25 Families</t>
        </is>
      </c>
      <c r="K20" s="12" t="inlineStr">
        <is>
          <t>New Registration</t>
        </is>
      </c>
    </row>
    <row r="21" ht="20" customHeight="1">
      <c r="A21" s="5" t="inlineStr">
        <is>
          <t>TPP-MM-017</t>
        </is>
      </c>
      <c r="B21" s="5" t="inlineStr">
        <is>
          <t>2026-09-23 16:52</t>
        </is>
      </c>
      <c r="C21" s="6" t="inlineStr">
        <is>
          <t>CBN Myanmar</t>
        </is>
      </c>
      <c r="D21" s="5" t="inlineStr">
        <is>
          <t>Mon</t>
        </is>
      </c>
      <c r="E21" s="6" t="inlineStr">
        <is>
          <t>Mandalay</t>
        </is>
      </c>
      <c r="F21" s="6" t="inlineStr">
        <is>
          <t>cbnmyanmar@gmail.com</t>
        </is>
      </c>
      <c r="G21" s="6" t="inlineStr">
        <is>
          <t>Cbnmyanmar</t>
        </is>
      </c>
      <c r="H21" s="6" t="inlineStr">
        <is>
          <t>cbnmyanmar@gmail.com</t>
        </is>
      </c>
      <c r="I21" s="6" t="inlineStr">
        <is>
          <t>098789078790</t>
        </is>
      </c>
      <c r="J21" s="5" t="inlineStr">
        <is>
          <t>1–20</t>
        </is>
      </c>
      <c r="K21" s="12" t="inlineStr">
        <is>
          <t>New Registration</t>
        </is>
      </c>
    </row>
    <row r="22" ht="20" customHeight="1">
      <c r="A22" s="8" t="inlineStr">
        <is>
          <t>TPP-MM-018</t>
        </is>
      </c>
      <c r="B22" s="8" t="inlineStr">
        <is>
          <t>2026-09-24 08:31</t>
        </is>
      </c>
      <c r="C22" s="9" t="inlineStr">
        <is>
          <t>End-to-End Live Sync Church</t>
        </is>
      </c>
      <c r="D22" s="8" t="inlineStr">
        <is>
          <t>Yangon</t>
        </is>
      </c>
      <c r="E22" s="9" t="inlineStr">
        <is>
          <t>Bahan</t>
        </is>
      </c>
      <c r="F22" s="9" t="inlineStr">
        <is>
          <t>Baptist</t>
        </is>
      </c>
      <c r="G22" s="9" t="inlineStr">
        <is>
          <t>Daw Mary</t>
        </is>
      </c>
      <c r="H22" s="9" t="inlineStr">
        <is>
          <t>mary@cbnmyanmar.org</t>
        </is>
      </c>
      <c r="I22" s="9" t="inlineStr">
        <is>
          <t>0977665544</t>
        </is>
      </c>
      <c r="J22" s="8" t="inlineStr">
        <is>
          <t>10–25 Families</t>
        </is>
      </c>
      <c r="K22" s="12" t="inlineStr">
        <is>
          <t>New Registration</t>
        </is>
      </c>
    </row>
    <row r="23" ht="20" customHeight="1">
      <c r="A23" s="5" t="inlineStr">
        <is>
          <t>TPP-MM-019</t>
        </is>
      </c>
      <c r="B23" s="5" t="inlineStr">
        <is>
          <t>2026-09-24 08:37</t>
        </is>
      </c>
      <c r="C23" s="6" t="inlineStr">
        <is>
          <t>CBN Church</t>
        </is>
      </c>
      <c r="D23" s="5" t="inlineStr">
        <is>
          <t>Kayin</t>
        </is>
      </c>
      <c r="E23" s="6" t="inlineStr">
        <is>
          <t>Hpa An</t>
        </is>
      </c>
      <c r="F23" s="6" t="inlineStr">
        <is>
          <t>cbnmm@gmail.com</t>
        </is>
      </c>
      <c r="G23" s="6" t="inlineStr">
        <is>
          <t>CBNmm</t>
        </is>
      </c>
      <c r="H23" s="6" t="inlineStr">
        <is>
          <t>cbnmm@gmail.com</t>
        </is>
      </c>
      <c r="I23" s="6" t="inlineStr">
        <is>
          <t>0978564860</t>
        </is>
      </c>
      <c r="J23" s="5" t="inlineStr">
        <is>
          <t>51–100</t>
        </is>
      </c>
      <c r="K23" s="12" t="inlineStr">
        <is>
          <t>New Registration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22" customWidth="1" min="5" max="5"/>
    <col width="20" customWidth="1" min="6" max="6"/>
  </cols>
  <sheetData>
    <row r="1" ht="28" customHeight="1">
      <c r="A1" s="1" t="inlineStr">
        <is>
          <t>The Parenting Project Myanmar — Executive Analytics &amp; Regional Breakdown</t>
        </is>
      </c>
    </row>
    <row r="3" ht="24" customHeight="1">
      <c r="A3" s="13" t="inlineStr">
        <is>
          <t>Total Partner Churches</t>
        </is>
      </c>
      <c r="C3" s="13" t="inlineStr">
        <is>
          <t>Churches Verified</t>
        </is>
      </c>
      <c r="E3" s="13" t="inlineStr">
        <is>
          <t>Contacted via Viber</t>
        </is>
      </c>
    </row>
    <row r="4" ht="36" customHeight="1">
      <c r="A4" s="14">
        <f>COUNTA('Church Registrations'!C5:C100)</f>
        <v/>
      </c>
      <c r="C4" s="14">
        <f>COUNTIF('Church Registrations'!K5:K100, "Verified")</f>
        <v/>
      </c>
      <c r="E4" s="14">
        <f>COUNTIF('Church Registrations'!K5:K100, "Contacted via Viber")</f>
        <v/>
      </c>
    </row>
    <row r="7">
      <c r="A7" s="15" t="inlineStr">
        <is>
          <t>Region / State</t>
        </is>
      </c>
      <c r="B7" s="15" t="inlineStr">
        <is>
          <t>Partner Churches</t>
        </is>
      </c>
      <c r="C7" s="15" t="inlineStr">
        <is>
          <t>% of Total</t>
        </is>
      </c>
    </row>
    <row r="8">
      <c r="A8" s="16" t="inlineStr">
        <is>
          <t>Yangon</t>
        </is>
      </c>
      <c r="B8" s="17">
        <f>COUNTIF('Church Registrations'!D5:D100, "Yangon")</f>
        <v/>
      </c>
      <c r="C8" s="18">
        <f>B8/$A$4</f>
        <v/>
      </c>
    </row>
    <row r="9">
      <c r="A9" s="16" t="inlineStr">
        <is>
          <t>Mandalay</t>
        </is>
      </c>
      <c r="B9" s="17">
        <f>COUNTIF('Church Registrations'!D5:D100, "Mandalay")</f>
        <v/>
      </c>
      <c r="C9" s="18">
        <f>B9/$A$4</f>
        <v/>
      </c>
    </row>
    <row r="10">
      <c r="A10" s="16" t="inlineStr">
        <is>
          <t>Shan</t>
        </is>
      </c>
      <c r="B10" s="17">
        <f>COUNTIF('Church Registrations'!D5:D100, "Shan")</f>
        <v/>
      </c>
      <c r="C10" s="18">
        <f>B10/$A$4</f>
        <v/>
      </c>
    </row>
    <row r="11">
      <c r="A11" s="16" t="inlineStr">
        <is>
          <t>Chin</t>
        </is>
      </c>
      <c r="B11" s="17">
        <f>COUNTIF('Church Registrations'!D5:D100, "Chin")</f>
        <v/>
      </c>
      <c r="C11" s="18">
        <f>B11/$A$4</f>
        <v/>
      </c>
    </row>
    <row r="12">
      <c r="A12" s="16" t="inlineStr">
        <is>
          <t>Kachin</t>
        </is>
      </c>
      <c r="B12" s="17">
        <f>COUNTIF('Church Registrations'!D5:D100, "Kachin")</f>
        <v/>
      </c>
      <c r="C12" s="18">
        <f>B12/$A$4</f>
        <v/>
      </c>
    </row>
    <row r="13">
      <c r="A13" s="16" t="inlineStr">
        <is>
          <t>Ayeyarwady</t>
        </is>
      </c>
      <c r="B13" s="17">
        <f>COUNTIF('Church Registrations'!D5:D100, "Ayeyarwady")</f>
        <v/>
      </c>
      <c r="C13" s="18">
        <f>B13/$A$4</f>
        <v/>
      </c>
    </row>
    <row r="14">
      <c r="A14" s="16" t="inlineStr">
        <is>
          <t>Kayin</t>
        </is>
      </c>
      <c r="B14" s="17">
        <f>COUNTIF('Church Registrations'!D5:D100, "Kayin")</f>
        <v/>
      </c>
      <c r="C14" s="18">
        <f>B14/$A$4</f>
        <v/>
      </c>
    </row>
    <row r="15">
      <c r="A15" s="16" t="inlineStr">
        <is>
          <t>Mon</t>
        </is>
      </c>
      <c r="B15" s="17">
        <f>COUNTIF('Church Registrations'!D5:D100, "Mon")</f>
        <v/>
      </c>
      <c r="C15" s="18">
        <f>B15/$A$4</f>
        <v/>
      </c>
    </row>
    <row r="16">
      <c r="A16" s="16" t="inlineStr">
        <is>
          <t>Sagaing</t>
        </is>
      </c>
      <c r="B16" s="17">
        <f>COUNTIF('Church Registrations'!D5:D100, "Sagaing")</f>
        <v/>
      </c>
      <c r="C16" s="18">
        <f>B16/$A$4</f>
        <v/>
      </c>
    </row>
    <row r="17">
      <c r="A17" s="16" t="inlineStr">
        <is>
          <t>Bago</t>
        </is>
      </c>
      <c r="B17" s="17">
        <f>COUNTIF('Church Registrations'!D5:D100, "Bago")</f>
        <v/>
      </c>
      <c r="C17" s="18">
        <f>B17/$A$4</f>
        <v/>
      </c>
    </row>
  </sheetData>
  <mergeCells count="7">
    <mergeCell ref="A4:B4"/>
    <mergeCell ref="E4:F4"/>
    <mergeCell ref="A1:G1"/>
    <mergeCell ref="C3:D3"/>
    <mergeCell ref="A3:B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2026-09-23T03:44:13Z</dcterms:created>
  <dcterms:modified xsi:type="dcterms:W3CDTF">2026-09-24T02:36:22Z</dcterms:modified>
</cp:coreProperties>
</file>